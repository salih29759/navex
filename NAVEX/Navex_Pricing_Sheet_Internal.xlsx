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Model" sheetId="1" state="visible" r:id="rId3"/>
    <sheet name="Success-Fee 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<sst xmlns="http://schemas.openxmlformats.org/spreadsheetml/2006/main" count="72" uniqueCount="58">
  <si>
    <t xml:space="preserve">NAVEX CAPITAL</t>
  </si>
  <si>
    <t xml:space="preserve">Internal Pricing Reference</t>
  </si>
  <si>
    <t xml:space="preserve">Internal use only — do not publish. Anchor ranges in proposals; finalize terms in the engagement letter.</t>
  </si>
  <si>
    <t xml:space="preserve">Engine</t>
  </si>
  <si>
    <t xml:space="preserve">Service</t>
  </si>
  <si>
    <t xml:space="preserve">Structure</t>
  </si>
  <si>
    <t xml:space="preserve">Typical Range</t>
  </si>
  <si>
    <t xml:space="preserve">Notes</t>
  </si>
  <si>
    <t xml:space="preserve">1 · Transaction</t>
  </si>
  <si>
    <t xml:space="preserve">Sell-side success fee</t>
  </si>
  <si>
    <t xml:space="preserve">Monthly retainer + success fee on close</t>
  </si>
  <si>
    <t xml:space="preserve">Retainer $10–50k/mo + Modified/Double Lehman; ~$150k min sub-$10M</t>
  </si>
  <si>
    <t xml:space="preserve">Retainer credit 50–100% vs success fee</t>
  </si>
  <si>
    <t xml:space="preserve">Buy-side / bolt-on</t>
  </si>
  <si>
    <t xml:space="preserve">Retainer + % of deal value</t>
  </si>
  <si>
    <t xml:space="preserve">$7.5–25k/mo + 1–3% per closed add-on</t>
  </si>
  <si>
    <t xml:space="preserve">Sector exclusivity where possible</t>
  </si>
  <si>
    <t xml:space="preserve">2 · Project</t>
  </si>
  <si>
    <t xml:space="preserve">Operational &amp; Commercial DD</t>
  </si>
  <si>
    <t xml:space="preserve">Fixed project fee</t>
  </si>
  <si>
    <t xml:space="preserve">$50–150k single target; $200–500k portfolio</t>
  </si>
  <si>
    <t xml:space="preserve">PE pays Big Four $1–2M for FDD</t>
  </si>
  <si>
    <t xml:space="preserve">Investment-Readiness diagnostic</t>
  </si>
  <si>
    <t xml:space="preserve">Fixed fee + retainer</t>
  </si>
  <si>
    <t xml:space="preserve">$50–150k + $10–25k/mo</t>
  </si>
  <si>
    <t xml:space="preserve">Converts to a sell-side mandate</t>
  </si>
  <si>
    <t xml:space="preserve">3 · Value / Interim</t>
  </si>
  <si>
    <t xml:space="preserve">Value Creation (100-day)</t>
  </si>
  <si>
    <t xml:space="preserve">Monthly retainer / day rate</t>
  </si>
  <si>
    <t xml:space="preserve">$15–50k/mo, or ~$2k+/day</t>
  </si>
  <si>
    <t xml:space="preserve">Optional EBITDA-uplift kicker</t>
  </si>
  <si>
    <t xml:space="preserve">Interim CXO</t>
  </si>
  <si>
    <t xml:space="preserve">Monthly retainer</t>
  </si>
  <si>
    <t xml:space="preserve">$15–35k/mo</t>
  </si>
  <si>
    <t xml:space="preserve">~half of full-time cost; no equity/severance</t>
  </si>
  <si>
    <t xml:space="preserve">Board / advisor</t>
  </si>
  <si>
    <t xml:space="preserve">Retainer or annual</t>
  </si>
  <si>
    <t xml:space="preserve">$3–10k/mo, or annual + options</t>
  </si>
  <si>
    <t xml:space="preserve">Sticky; leads to the next mandate</t>
  </si>
  <si>
    <t xml:space="preserve">Success-Fee Calculator</t>
  </si>
  <si>
    <t xml:space="preserve">Enter the two blue inputs; fees calculate automatically (min-fee floor applied).</t>
  </si>
  <si>
    <t xml:space="preserve">Transaction value (USD)</t>
  </si>
  <si>
    <t xml:space="preserve">← input</t>
  </si>
  <si>
    <t xml:space="preserve">Minimum fee (USD)</t>
  </si>
  <si>
    <t xml:space="preserve">Modified Lehman</t>
  </si>
  <si>
    <t xml:space="preserve">Tier</t>
  </si>
  <si>
    <t xml:space="preserve">Rate</t>
  </si>
  <si>
    <t xml:space="preserve">Fee on tier</t>
  </si>
  <si>
    <t xml:space="preserve">First $1M</t>
  </si>
  <si>
    <t xml:space="preserve">Second $1M</t>
  </si>
  <si>
    <t xml:space="preserve">Third $1M</t>
  </si>
  <si>
    <t xml:space="preserve">Fourth $1M</t>
  </si>
  <si>
    <t xml:space="preserve">Above $4M</t>
  </si>
  <si>
    <t xml:space="preserve">remainder</t>
  </si>
  <si>
    <t xml:space="preserve">Modified Lehman — fee payable</t>
  </si>
  <si>
    <t xml:space="preserve">Double Lehman</t>
  </si>
  <si>
    <t xml:space="preserve">Double Lehman — fee payable</t>
  </si>
  <si>
    <t xml:space="preserve">Confirm the M&amp;A Broker Exemption (target EBITDA &lt; $25M or revenue &lt; $250M) before charging any success fee. Route larger deals through a registered broker-dealer.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</si>
</sst>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Calibri"/>
      <family val="0"/>
      <charset val="1"/>
    </font>
    <font>
      <sz val="13"/>
      <color rgb="FFB08D2A"/>
      <name val="Calibri"/>
      <family val="0"/>
      <charset val="1"/>
    </font>
    <font>
      <i val="true"/>
      <sz val="9"/>
      <color rgb="FF6A6A6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B2B2B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i val="true"/>
      <sz val="10"/>
      <color rgb="FF6A6A6A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CC"/>
      <name val="Calibri"/>
      <family val="0"/>
      <charset val="1"/>
    </font>
    <font>
      <i val="true"/>
      <sz val="9"/>
      <color rgb="FF0000CC"/>
      <name val="Cambria"/>
      <family val="0"/>
      <charset val="1"/>
    </font>
    <font>
      <i val="true"/>
      <sz val="9"/>
      <color rgb="FF6A6A6A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2B2B2B"/>
      </patternFill>
    </fill>
    <fill>
      <patternFill patternType="solid">
        <fgColor rgb="FFF4F7FA"/>
        <bgColor rgb="FFFFFFFF"/>
      </patternFill>
    </fill>
    <fill>
      <patternFill patternType="solid">
        <fgColor rgb="FFDEEBF7"/>
        <bgColor rgb="FFD8DE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 diagonalUp="false" diagonalDown="false">
      <left style="medium">
        <color rgb="FF9DB7D6"/>
      </left>
      <right style="medium">
        <color rgb="FF9DB7D6"/>
      </right>
      <top style="medium">
        <color rgb="FF9DB7D6"/>
      </top>
      <bottom style="medium">
        <color rgb="FF9DB7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B08D2A"/>
      <rgbColor rgb="FF800080"/>
      <rgbColor rgb="FF008080"/>
      <rgbColor rgb="FFC0C0C0"/>
      <rgbColor rgb="FF808080"/>
      <rgbColor rgb="FF9999FF"/>
      <rgbColor rgb="FF993366"/>
      <rgbColor rgb="FFF4F7FA"/>
      <rgbColor rgb="FFDEEBF7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B7D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38"/>
  </cols>
  <sheetData>
    <row r="1" customFormat="false" ht="22.05" hidden="false" customHeight="false" outlineLevel="0" collapsed="false">
      <c r="A1" s="1" t="s">
        <v>0</v>
      </c>
    </row>
    <row r="2" customFormat="false" ht="16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3.85" hidden="false" customHeight="false" outlineLevel="0" collapsed="false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customFormat="false" ht="15" hidden="false" customHeight="false" outlineLevel="0" collapsed="false">
      <c r="A7" s="6" t="s">
        <v>8</v>
      </c>
      <c r="B7" s="6" t="s">
        <v>13</v>
      </c>
      <c r="C7" s="6" t="s">
        <v>14</v>
      </c>
      <c r="D7" s="6" t="s">
        <v>15</v>
      </c>
      <c r="E7" s="6" t="s">
        <v>16</v>
      </c>
    </row>
    <row r="8" customFormat="false" ht="15" hidden="false" customHeight="false" outlineLevel="0" collapsed="false">
      <c r="A8" s="5" t="s">
        <v>17</v>
      </c>
      <c r="B8" s="5" t="s">
        <v>18</v>
      </c>
      <c r="C8" s="5" t="s">
        <v>19</v>
      </c>
      <c r="D8" s="5" t="s">
        <v>20</v>
      </c>
      <c r="E8" s="5" t="s">
        <v>21</v>
      </c>
    </row>
    <row r="9" customFormat="false" ht="15" hidden="false" customHeight="false" outlineLevel="0" collapsed="false">
      <c r="A9" s="6" t="s">
        <v>17</v>
      </c>
      <c r="B9" s="6" t="s">
        <v>22</v>
      </c>
      <c r="C9" s="6" t="s">
        <v>23</v>
      </c>
      <c r="D9" s="6" t="s">
        <v>24</v>
      </c>
      <c r="E9" s="6" t="s">
        <v>25</v>
      </c>
    </row>
    <row r="10" customFormat="false" ht="15" hidden="false" customHeight="false" outlineLevel="0" collapsed="false">
      <c r="A10" s="5" t="s">
        <v>26</v>
      </c>
      <c r="B10" s="5" t="s">
        <v>27</v>
      </c>
      <c r="C10" s="5" t="s">
        <v>28</v>
      </c>
      <c r="D10" s="5" t="s">
        <v>29</v>
      </c>
      <c r="E10" s="5" t="s">
        <v>30</v>
      </c>
    </row>
    <row r="11" customFormat="false" ht="15" hidden="false" customHeight="false" outlineLevel="0" collapsed="false">
      <c r="A11" s="6" t="s">
        <v>26</v>
      </c>
      <c r="B11" s="6" t="s">
        <v>31</v>
      </c>
      <c r="C11" s="6" t="s">
        <v>32</v>
      </c>
      <c r="D11" s="6" t="s">
        <v>33</v>
      </c>
      <c r="E11" s="6" t="s">
        <v>34</v>
      </c>
    </row>
    <row r="12" customFormat="false" ht="15" hidden="false" customHeight="false" outlineLevel="0" collapsed="false">
      <c r="A12" s="5" t="s">
        <v>26</v>
      </c>
      <c r="B12" s="5" t="s">
        <v>35</v>
      </c>
      <c r="C12" s="5" t="s">
        <v>36</v>
      </c>
      <c r="D12" s="5" t="s">
        <v>37</v>
      </c>
      <c r="E12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7" t="s">
        <v>39</v>
      </c>
    </row>
    <row r="2" customFormat="false" ht="15" hidden="false" customHeight="false" outlineLevel="0" collapsed="false">
      <c r="A2" s="8" t="s">
        <v>40</v>
      </c>
    </row>
    <row r="4" customFormat="false" ht="15" hidden="false" customHeight="false" outlineLevel="0" collapsed="false">
      <c r="A4" s="9" t="s">
        <v>41</v>
      </c>
      <c r="C4" s="10" t="n">
        <v>5000000</v>
      </c>
      <c r="D4" s="11" t="s">
        <v>42</v>
      </c>
    </row>
    <row r="5" customFormat="false" ht="15" hidden="false" customHeight="false" outlineLevel="0" collapsed="false">
      <c r="A5" s="9" t="s">
        <v>43</v>
      </c>
      <c r="C5" s="10" t="n">
        <v>150000</v>
      </c>
      <c r="D5" s="11" t="s">
        <v>42</v>
      </c>
    </row>
    <row r="7" customFormat="false" ht="15" hidden="false" customHeight="false" outlineLevel="0" collapsed="false">
      <c r="A7" s="12" t="s">
        <v>44</v>
      </c>
      <c r="B7" s="12" t="s">
        <v>45</v>
      </c>
      <c r="C7" s="12" t="s">
        <v>46</v>
      </c>
      <c r="D7" s="12" t="s">
        <v>47</v>
      </c>
    </row>
    <row r="8" customFormat="false" ht="15" hidden="false" customHeight="false" outlineLevel="0" collapsed="false">
      <c r="A8" s="13" t="s">
        <v>48</v>
      </c>
      <c r="B8" s="14" t="n">
        <v>1000000</v>
      </c>
      <c r="C8" s="15" t="n">
        <v>0.05</v>
      </c>
      <c r="D8" s="14" t="n">
        <f aca="false">MAX(MIN($C$4,1000000)-0,0)*C8</f>
        <v>50000</v>
      </c>
    </row>
    <row r="9" customFormat="false" ht="15" hidden="false" customHeight="false" outlineLevel="0" collapsed="false">
      <c r="A9" s="16" t="s">
        <v>49</v>
      </c>
      <c r="B9" s="17" t="n">
        <v>1000000</v>
      </c>
      <c r="C9" s="18" t="n">
        <v>0.04</v>
      </c>
      <c r="D9" s="17" t="n">
        <f aca="false">MAX(MIN($C$4,2000000)-1000000,0)*C9</f>
        <v>40000</v>
      </c>
    </row>
    <row r="10" customFormat="false" ht="15" hidden="false" customHeight="false" outlineLevel="0" collapsed="false">
      <c r="A10" s="13" t="s">
        <v>50</v>
      </c>
      <c r="B10" s="14" t="n">
        <v>1000000</v>
      </c>
      <c r="C10" s="15" t="n">
        <v>0.03</v>
      </c>
      <c r="D10" s="14" t="n">
        <f aca="false">MAX(MIN($C$4,3000000)-2000000,0)*C10</f>
        <v>30000</v>
      </c>
    </row>
    <row r="11" customFormat="false" ht="15" hidden="false" customHeight="false" outlineLevel="0" collapsed="false">
      <c r="A11" s="16" t="s">
        <v>51</v>
      </c>
      <c r="B11" s="17" t="n">
        <v>1000000</v>
      </c>
      <c r="C11" s="18" t="n">
        <v>0.02</v>
      </c>
      <c r="D11" s="17" t="n">
        <f aca="false">MAX(MIN($C$4,4000000)-3000000,0)*C11</f>
        <v>20000</v>
      </c>
    </row>
    <row r="12" customFormat="false" ht="15" hidden="false" customHeight="false" outlineLevel="0" collapsed="false">
      <c r="A12" s="13" t="s">
        <v>52</v>
      </c>
      <c r="B12" s="19" t="s">
        <v>53</v>
      </c>
      <c r="C12" s="15" t="n">
        <v>0.01</v>
      </c>
      <c r="D12" s="14" t="n">
        <f aca="false">MAX(MIN($C$4,1000000000000000)-4000000,0)*C12</f>
        <v>10000</v>
      </c>
    </row>
    <row r="13" customFormat="false" ht="15" hidden="false" customHeight="false" outlineLevel="0" collapsed="false">
      <c r="A13" s="20" t="s">
        <v>54</v>
      </c>
      <c r="B13" s="21"/>
      <c r="C13" s="21"/>
      <c r="D13" s="22" t="n">
        <f aca="false">MAX(SUM(D8:D12),$C$5)</f>
        <v>150000</v>
      </c>
    </row>
    <row r="15" customFormat="false" ht="15" hidden="false" customHeight="false" outlineLevel="0" collapsed="false">
      <c r="A15" s="12" t="s">
        <v>55</v>
      </c>
      <c r="B15" s="12" t="s">
        <v>45</v>
      </c>
      <c r="C15" s="12" t="s">
        <v>46</v>
      </c>
      <c r="D15" s="12" t="s">
        <v>47</v>
      </c>
    </row>
    <row r="16" customFormat="false" ht="15" hidden="false" customHeight="false" outlineLevel="0" collapsed="false">
      <c r="A16" s="13" t="s">
        <v>48</v>
      </c>
      <c r="B16" s="14" t="n">
        <v>1000000</v>
      </c>
      <c r="C16" s="15" t="n">
        <v>0.1</v>
      </c>
      <c r="D16" s="14" t="n">
        <f aca="false">MAX(MIN($C$4,1000000)-0,0)*C16</f>
        <v>100000</v>
      </c>
    </row>
    <row r="17" customFormat="false" ht="15" hidden="false" customHeight="false" outlineLevel="0" collapsed="false">
      <c r="A17" s="16" t="s">
        <v>49</v>
      </c>
      <c r="B17" s="17" t="n">
        <v>1000000</v>
      </c>
      <c r="C17" s="18" t="n">
        <v>0.08</v>
      </c>
      <c r="D17" s="17" t="n">
        <f aca="false">MAX(MIN($C$4,2000000)-1000000,0)*C17</f>
        <v>80000</v>
      </c>
    </row>
    <row r="18" customFormat="false" ht="15" hidden="false" customHeight="false" outlineLevel="0" collapsed="false">
      <c r="A18" s="13" t="s">
        <v>50</v>
      </c>
      <c r="B18" s="14" t="n">
        <v>1000000</v>
      </c>
      <c r="C18" s="15" t="n">
        <v>0.06</v>
      </c>
      <c r="D18" s="14" t="n">
        <f aca="false">MAX(MIN($C$4,3000000)-2000000,0)*C18</f>
        <v>60000</v>
      </c>
    </row>
    <row r="19" customFormat="false" ht="15" hidden="false" customHeight="false" outlineLevel="0" collapsed="false">
      <c r="A19" s="16" t="s">
        <v>51</v>
      </c>
      <c r="B19" s="17" t="n">
        <v>1000000</v>
      </c>
      <c r="C19" s="18" t="n">
        <v>0.04</v>
      </c>
      <c r="D19" s="17" t="n">
        <f aca="false">MAX(MIN($C$4,4000000)-3000000,0)*C19</f>
        <v>40000</v>
      </c>
    </row>
    <row r="20" customFormat="false" ht="15" hidden="false" customHeight="false" outlineLevel="0" collapsed="false">
      <c r="A20" s="13" t="s">
        <v>52</v>
      </c>
      <c r="B20" s="19" t="s">
        <v>53</v>
      </c>
      <c r="C20" s="15" t="n">
        <v>0.02</v>
      </c>
      <c r="D20" s="14" t="n">
        <f aca="false">MAX(MIN($C$4,1000000000000000)-4000000,0)*C20</f>
        <v>20000</v>
      </c>
    </row>
    <row r="21" customFormat="false" ht="15" hidden="false" customHeight="false" outlineLevel="0" collapsed="false">
      <c r="A21" s="20" t="s">
        <v>56</v>
      </c>
      <c r="B21" s="21"/>
      <c r="C21" s="21"/>
      <c r="D21" s="22" t="n">
        <f aca="false">MAX(SUM(D16:D20),$C$5)</f>
        <v>300000</v>
      </c>
    </row>
    <row r="23" customFormat="false" ht="15" hidden="false" customHeight="false" outlineLevel="0" collapsed="false">
      <c r="A23" s="2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2026-06-26T17:55:10Z</dcterms:created>
  <dc:creator>openpyxl</dc:creator>
  <dc:description/>
  <dc:language>en-US</dc:language>
  <cp:lastModifiedBy/>
  <dcterms:modified xsi:type="dcterms:W3CDTF">2026-06-26T17:55:10Z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